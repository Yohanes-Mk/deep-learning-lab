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9ca6b2e1046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ester Tracker" sheetId="1" r:id="R6af2c1869a9b4b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d, mmm d, yyyy"/>
    <x:numFmt numFmtId="201" formatCode="ddd, mmm d, yyyy h:mm AM/PM"/>
    <x:numFmt numFmtId="202" formatCode="0"/>
    <x:numFmt numFmtId="203" formatCode="0.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6566F"/>
      <x:name val="Carlito"/>
    </x:font>
    <x:font>
      <x:b/>
      <x:sz val="9"/>
      <x:color rgb="FF16324F"/>
      <x:name val="Carlito"/>
    </x:font>
    <x:font>
      <x:b/>
      <x:sz val="16"/>
      <x:color rgb="FF0F5C99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i/>
      <x:sz val="9"/>
      <x:color rgb="FF7A4A00"/>
      <x:name val="Carlito"/>
    </x:font>
    <x:font>
      <x:i/>
      <x:sz val="8"/>
      <x:color rgb="FF6B728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6FAFD"/>
      </x:patternFill>
    </x:fill>
    <x:fill>
      <x:patternFill patternType="solid">
        <x:fgColor rgb="FF0F5C99"/>
      </x:patternFill>
    </x:fill>
    <x:fill>
      <x:patternFill patternType="solid">
        <x:fgColor rgb="FFFFF7E6"/>
      </x:patternFill>
    </x:fill>
  </x:fills>
  <x:borders count="10">
    <x:border/>
    <x:border>
      <x:left style="thin">
        <x:color rgb="FF9CBAD0"/>
      </x:left>
      <x:top style="thin">
        <x:color rgb="FF9CBAD0"/>
      </x:top>
      <x:bottom style="thin">
        <x:color rgb="FF9CBAD0"/>
      </x:bottom>
    </x:border>
    <x:border>
      <x:top style="thin">
        <x:color rgb="FF9CBAD0"/>
      </x:top>
      <x:bottom style="thin">
        <x:color rgb="FF9CBAD0"/>
      </x:bottom>
    </x:border>
    <x:border>
      <x:right style="thin">
        <x:color rgb="FF9CBAD0"/>
      </x:right>
      <x:top style="thin">
        <x:color rgb="FF9CBAD0"/>
      </x:top>
      <x:bottom style="thin">
        <x:color rgb="FF9CBAD0"/>
      </x:bottom>
    </x:border>
    <x:border>
      <x:left style="thin">
        <x:color rgb="FFE6C98B"/>
      </x:left>
      <x:top style="thin">
        <x:color rgb="FFE6C98B"/>
      </x:top>
    </x:border>
    <x:border>
      <x:top style="thin">
        <x:color rgb="FFE6C98B"/>
      </x:top>
    </x:border>
    <x:border>
      <x:right style="thin">
        <x:color rgb="FFE6C98B"/>
      </x:right>
      <x:top style="thin">
        <x:color rgb="FFE6C98B"/>
      </x:top>
    </x:border>
    <x:border>
      <x:left style="thin">
        <x:color rgb="FFE6C98B"/>
      </x:left>
      <x:bottom style="thin">
        <x:color rgb="FFE6C98B"/>
      </x:bottom>
    </x:border>
    <x:border>
      <x:bottom style="thin">
        <x:color rgb="FFE6C98B"/>
      </x:bottom>
    </x:border>
    <x:border>
      <x:right style="thin">
        <x:color rgb="FFE6C98B"/>
      </x:right>
      <x:bottom style="thin">
        <x:color rgb="FFE6C98B"/>
      </x:bottom>
    </x:border>
  </x:borders>
  <x:cellStyleXfs count="1">
    <x:xf numFmtId="0" fontId="0" fillId="0" borderId="0"/>
  </x:cellStyleXfs>
  <x:cellXfs count="7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 applyAlignment="1">
      <x:alignment horizontal="center" vertical="center"/>
    </x:xf>
    <x:xf numFmtId="201" fontId="6" fillId="0" borderId="0" xfId="0" applyNumberFormat="1" applyFont="1" applyFill="1" applyBorder="1" applyAlignment="1">
      <x:alignment horizontal="center" vertical="center"/>
    </x:xf>
    <x:xf numFmtId="202" fontId="6" fillId="0" borderId="0" xfId="0" applyNumberFormat="1" applyFont="1" applyFill="1" applyBorder="1" applyAlignment="1">
      <x:alignment horizontal="center" vertical="center"/>
    </x:xf>
    <x:xf numFmtId="203" fontId="6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4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left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e5bc5352114b08" /><Relationship Type="http://schemas.openxmlformats.org/officeDocument/2006/relationships/theme" Target="/xl/theme/theme1.xml" Id="R9d5f3635003f4f93" /><Relationship Type="http://schemas.openxmlformats.org/officeDocument/2006/relationships/sharedStrings" Target="/xl/sharedStrings.xml" Id="Rf58c7111eb8d4403" /><Relationship Type="http://schemas.openxmlformats.org/officeDocument/2006/relationships/worksheet" Target="/xl/worksheets/sheet1.xml" Id="R6af2c1869a9b4bfe" /></Relationships>
</file>

<file path=xl/tables/table1.xml><?xml version="1.0" encoding="utf-8"?>
<x:table xmlns:x="http://schemas.openxmlformats.org/spreadsheetml/2006/main" id="1" name="SemesterDeadlineTable" displayName="SemesterDeadlineTable" ref="A7:J19" headerRowCount="1" totalsRowCount="0" totalsRowShown="0">
  <x:autoFilter ref="A7:J19"/>
  <x:tableColumns count="10">
    <x:tableColumn id="1" name="Due Week"/>
    <x:tableColumn id="2" name="Item"/>
    <x:tableColumn id="3" name="Category"/>
    <x:tableColumn id="4" name="Opens"/>
    <x:tableColumn id="5" name="Due"/>
    <x:tableColumn id="6" name="D2L Closes"/>
    <x:tableColumn id="7" name="Points"/>
    <x:tableColumn id="8" name="Weight %"/>
    <x:tableColumn id="9" name="Status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1cf0e1edf843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14" hidden="0" customWidth="1"/>
    <x:col min="4" max="4" width="20" hidden="0" customWidth="1"/>
    <x:col min="5" max="5" width="25" hidden="0" customWidth="1"/>
    <x:col min="6" max="6" width="20" hidden="0" customWidth="1"/>
    <x:col min="7" max="7" width="9" hidden="0" customWidth="1"/>
    <x:col min="8" max="8" width="11" hidden="0" customWidth="1"/>
    <x:col min="9" max="9" width="15" hidden="0" customWidth="1"/>
    <x:col min="10" max="10" width="48" hidden="0" customWidth="1"/>
  </x:cols>
  <x:sheetData>
    <x:row r="1" ht="32" customHeight="1">
      <x:c r="A1" s="8" t="str">
        <x:v>CSCI 441/541 - Fall 2026 Semester Tracker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 ht="22" customHeight="1">
      <x:c r="A2" s="12" t="str">
        <x:v>Neural Network and Deep Learning | Posted D2L dates as of August 26, 2026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20" customHeight="1">
      <x:c r="A4" s="21" t="str">
        <x:v>TOTAL ITEMS</x:v>
      </x:c>
      <x:c r="B4" s="22"/>
      <x:c r="C4" s="22" t="str">
        <x:v>POSTED DEADLINES</x:v>
      </x:c>
      <x:c r="D4" s="22"/>
      <x:c r="E4" s="22" t="str">
        <x:v>DATES TBA</x:v>
      </x:c>
      <x:c r="F4" s="22"/>
      <x:c r="G4" s="22" t="str">
        <x:v>COMPLETED</x:v>
      </x:c>
      <x:c r="H4" s="22"/>
      <x:c r="I4" s="22" t="str">
        <x:v>REMAINING</x:v>
      </x:c>
      <x:c r="J4" s="23"/>
    </x:row>
    <x:row r="5" ht="28" customHeight="1">
      <x:c r="A5" s="32" t="n">
        <x:f>COUNTA(B8:B19)</x:f>
        <x:v>12</x:v>
      </x:c>
      <x:c r="B5" s="33"/>
      <x:c r="C5" s="33" t="n">
        <x:f>COUNT(E8:E19)</x:f>
        <x:v>10</x:v>
      </x:c>
      <x:c r="D5" s="33"/>
      <x:c r="E5" s="33" t="n">
        <x:f>COUNTBLANK(E8:E19)</x:f>
        <x:v>2</x:v>
      </x:c>
      <x:c r="F5" s="33"/>
      <x:c r="G5" s="33" t="n">
        <x:f>COUNTIF(I8:I19,"Completed")</x:f>
        <x:v>0</x:v>
      </x:c>
      <x:c r="H5" s="33"/>
      <x:c r="I5" s="33" t="n">
        <x:f>A5-G5</x:f>
        <x:v>12</x:v>
      </x:c>
      <x:c r="J5" s="34"/>
    </x:row>
    <x:row r="7" ht="26" customHeight="1">
      <x:c r="A7" s="38" t="str">
        <x:v>Due Week</x:v>
      </x:c>
      <x:c r="B7" s="38" t="str">
        <x:v>Item</x:v>
      </x:c>
      <x:c r="C7" s="38" t="str">
        <x:v>Category</x:v>
      </x:c>
      <x:c r="D7" s="38" t="str">
        <x:v>Opens</x:v>
      </x:c>
      <x:c r="E7" s="38" t="str">
        <x:v>Due</x:v>
      </x:c>
      <x:c r="F7" s="38" t="str">
        <x:v>D2L Closes</x:v>
      </x:c>
      <x:c r="G7" s="38" t="str">
        <x:v>Points</x:v>
      </x:c>
      <x:c r="H7" s="38" t="str">
        <x:v>Weight %</x:v>
      </x:c>
      <x:c r="I7" s="38" t="str">
        <x:v>Status</x:v>
      </x:c>
      <x:c r="J7" s="38" t="str">
        <x:v>Notes</x:v>
      </x:c>
    </x:row>
    <x:row r="8" ht="32" customHeight="1">
      <x:c r="A8" s="49" t="str">
        <x:v>Week 1</x:v>
      </x:c>
      <x:c r="B8" s="44" t="str">
        <x:v>Assignment 1</x:v>
      </x:c>
      <x:c r="C8" s="49" t="str">
        <x:v>Assignment</x:v>
      </x:c>
      <x:c r="D8" s="50" t="n">
        <x:v>46258</x:v>
      </x:c>
      <x:c r="E8" s="51" t="n">
        <x:v>46264.99930555555</x:v>
      </x:c>
      <x:c r="F8" s="50" t="n">
        <x:v>46265</x:v>
      </x:c>
      <x:c r="G8" s="52" t="n">
        <x:v>20</x:v>
      </x:c>
      <x:c r="H8" s="53" t="n">
        <x:v>4.44</x:v>
      </x:c>
      <x:c r="I8" s="49" t="str">
        <x:v>Not Started</x:v>
      </x:c>
      <x:c r="J8" s="54" t="str">
        <x:v>Opening time not shown; 30% late penalty after due time.</x:v>
      </x:c>
    </x:row>
    <x:row r="9" ht="32" customHeight="1">
      <x:c r="A9" s="49" t="str">
        <x:v>Week 1</x:v>
      </x:c>
      <x:c r="B9" s="44" t="str">
        <x:v>Quiz 1</x:v>
      </x:c>
      <x:c r="C9" s="49" t="str">
        <x:v>Quiz</x:v>
      </x:c>
      <x:c r="D9" s="50" t="n">
        <x:v>46258.00069444445</x:v>
      </x:c>
      <x:c r="E9" s="51" t="n">
        <x:v>46264.99930555555</x:v>
      </x:c>
      <x:c r="F9" s="50" t="n">
        <x:v>46265.99930555555</x:v>
      </x:c>
      <x:c r="G9" s="52" t="n">
        <x:v>10</x:v>
      </x:c>
      <x:c r="H9" s="53" t="n">
        <x:v>2.78</x:v>
      </x:c>
      <x:c r="I9" s="49" t="str">
        <x:v>Not Started</x:v>
      </x:c>
      <x:c r="J9" s="54" t="str">
        <x:v>Two attempts.</x:v>
      </x:c>
    </x:row>
    <x:row r="10" ht="32" customHeight="1">
      <x:c r="A10" s="49" t="str">
        <x:v>Week 2</x:v>
      </x:c>
      <x:c r="B10" s="44" t="str">
        <x:v>Assignment 2</x:v>
      </x:c>
      <x:c r="C10" s="49" t="str">
        <x:v>Assignment</x:v>
      </x:c>
      <x:c r="D10" s="50" t="n">
        <x:v>46264</x:v>
      </x:c>
      <x:c r="E10" s="51" t="n">
        <x:v>46271.99930555555</x:v>
      </x:c>
      <x:c r="F10" s="50" t="n">
        <x:v>46272</x:v>
      </x:c>
      <x:c r="G10" s="52" t="n">
        <x:v>20</x:v>
      </x:c>
      <x:c r="H10" s="53" t="n">
        <x:v>4.44</x:v>
      </x:c>
      <x:c r="I10" s="49" t="str">
        <x:v>Not Started</x:v>
      </x:c>
      <x:c r="J10" s="54" t="str">
        <x:v>Opening time not shown; 30% late penalty after due time.</x:v>
      </x:c>
    </x:row>
    <x:row r="11" ht="32" customHeight="1">
      <x:c r="A11" s="49" t="str">
        <x:v>Week 2</x:v>
      </x:c>
      <x:c r="B11" s="44" t="str">
        <x:v>Quiz 2</x:v>
      </x:c>
      <x:c r="C11" s="49" t="str">
        <x:v>Quiz</x:v>
      </x:c>
      <x:c r="D11" s="50" t="n">
        <x:v>46264.00069444445</x:v>
      </x:c>
      <x:c r="E11" s="51" t="n">
        <x:v>46271.99930555555</x:v>
      </x:c>
      <x:c r="F11" s="50" t="n">
        <x:v>46272.99930555555</x:v>
      </x:c>
      <x:c r="G11" s="52" t="n">
        <x:v>8</x:v>
      </x:c>
      <x:c r="H11" s="53" t="n">
        <x:v>2.22</x:v>
      </x:c>
      <x:c r="I11" s="49" t="str">
        <x:v>Not Started</x:v>
      </x:c>
      <x:c r="J11" s="54" t="str">
        <x:v>Two attempts.</x:v>
      </x:c>
    </x:row>
    <x:row r="12" ht="32" customHeight="1">
      <x:c r="A12" s="49" t="str">
        <x:v>Week 3</x:v>
      </x:c>
      <x:c r="B12" s="44" t="str">
        <x:v>Assignment 3</x:v>
      </x:c>
      <x:c r="C12" s="49" t="str">
        <x:v>Assignment</x:v>
      </x:c>
      <x:c r="D12" s="50" t="n">
        <x:v>46264</x:v>
      </x:c>
      <x:c r="E12" s="51" t="n">
        <x:v>46278.99930555555</x:v>
      </x:c>
      <x:c r="F12" s="50" t="n">
        <x:v>46279</x:v>
      </x:c>
      <x:c r="G12" s="52" t="n">
        <x:v>20</x:v>
      </x:c>
      <x:c r="H12" s="53" t="n">
        <x:v>4.44</x:v>
      </x:c>
      <x:c r="I12" s="49" t="str">
        <x:v>Not Started</x:v>
      </x:c>
      <x:c r="J12" s="54" t="str">
        <x:v>Opens early on Aug 30; opening time not shown.</x:v>
      </x:c>
    </x:row>
    <x:row r="13" ht="32" customHeight="1">
      <x:c r="A13" s="49" t="str">
        <x:v>Week 3</x:v>
      </x:c>
      <x:c r="B13" s="44" t="str">
        <x:v>Quiz 3</x:v>
      </x:c>
      <x:c r="C13" s="49" t="str">
        <x:v>Quiz</x:v>
      </x:c>
      <x:c r="D13" s="50" t="n">
        <x:v>46264.00069444445</x:v>
      </x:c>
      <x:c r="E13" s="51" t="n">
        <x:v>46278.99930555555</x:v>
      </x:c>
      <x:c r="F13" s="50" t="n">
        <x:v>46279.99930555555</x:v>
      </x:c>
      <x:c r="G13" s="52" t="n">
        <x:v>10</x:v>
      </x:c>
      <x:c r="H13" s="53" t="n">
        <x:v>2.78</x:v>
      </x:c>
      <x:c r="I13" s="49" t="str">
        <x:v>Not Started</x:v>
      </x:c>
      <x:c r="J13" s="54" t="str">
        <x:v>Opens early on Aug 30; two attempts.</x:v>
      </x:c>
    </x:row>
    <x:row r="14" ht="32" customHeight="1">
      <x:c r="A14" s="49" t="str">
        <x:v>Week 4</x:v>
      </x:c>
      <x:c r="B14" s="44" t="str">
        <x:v>Research Assignment 5</x:v>
      </x:c>
      <x:c r="C14" s="49" t="str">
        <x:v>Assignment</x:v>
      </x:c>
      <x:c r="D14" s="50" t="n">
        <x:v>46258</x:v>
      </x:c>
      <x:c r="E14" s="51" t="n">
        <x:v>46285.99930555555</x:v>
      </x:c>
      <x:c r="F14" s="50" t="n">
        <x:v>46286</x:v>
      </x:c>
      <x:c r="G14" s="52" t="n">
        <x:v>10</x:v>
      </x:c>
      <x:c r="H14" s="53" t="n">
        <x:v>2.22</x:v>
      </x:c>
      <x:c r="I14" s="49" t="str">
        <x:v>Not Started</x:v>
      </x:c>
      <x:c r="J14" s="54" t="str">
        <x:v>Available from the first day of the semester.</x:v>
      </x:c>
    </x:row>
    <x:row r="15" ht="32" customHeight="1">
      <x:c r="A15" s="49" t="str">
        <x:v>Week 5</x:v>
      </x:c>
      <x:c r="B15" s="44" t="str">
        <x:v>Assignment 4</x:v>
      </x:c>
      <x:c r="C15" s="49" t="str">
        <x:v>Assignment</x:v>
      </x:c>
      <x:c r="D15" s="50" t="n">
        <x:v>46283</x:v>
      </x:c>
      <x:c r="E15" s="51" t="n">
        <x:v>46290.99930555555</x:v>
      </x:c>
      <x:c r="F15" s="50" t="n">
        <x:v>46291</x:v>
      </x:c>
      <x:c r="G15" s="52" t="n">
        <x:v>20</x:v>
      </x:c>
      <x:c r="H15" s="53" t="n">
        <x:v>4.44</x:v>
      </x:c>
      <x:c r="I15" s="49" t="str">
        <x:v>Not Started</x:v>
      </x:c>
      <x:c r="J15" s="54" t="str">
        <x:v>Friday deadline; opening time not shown.</x:v>
      </x:c>
    </x:row>
    <x:row r="16" ht="32" customHeight="1">
      <x:c r="A16" s="49" t="str">
        <x:v>Week 5</x:v>
      </x:c>
      <x:c r="B16" s="44" t="str">
        <x:v>Quiz 4</x:v>
      </x:c>
      <x:c r="C16" s="49" t="str">
        <x:v>Quiz</x:v>
      </x:c>
      <x:c r="D16" s="50" t="n">
        <x:v>46283.00069444445</x:v>
      </x:c>
      <x:c r="E16" s="51" t="n">
        <x:v>46290.99930555555</x:v>
      </x:c>
      <x:c r="F16" s="50" t="n">
        <x:v>46291.99930555555</x:v>
      </x:c>
      <x:c r="G16" s="52" t="n">
        <x:v>8</x:v>
      </x:c>
      <x:c r="H16" s="53" t="n">
        <x:v>2.22</x:v>
      </x:c>
      <x:c r="I16" s="49" t="str">
        <x:v>Not Started</x:v>
      </x:c>
      <x:c r="J16" s="54" t="str">
        <x:v>Friday deadline; two attempts.</x:v>
      </x:c>
    </x:row>
    <x:row r="17" ht="32" customHeight="1">
      <x:c r="A17" s="49" t="str">
        <x:v>Week 8</x:v>
      </x:c>
      <x:c r="B17" s="44" t="str">
        <x:v>Midterm Exam</x:v>
      </x:c>
      <x:c r="C17" s="49" t="str">
        <x:v>Exam</x:v>
      </x:c>
      <x:c r="D17" s="50" t="n">
        <x:v>46309</x:v>
      </x:c>
      <x:c r="E17" s="51" t="n">
        <x:v>46311.99930555555</x:v>
      </x:c>
      <x:c r="F17" s="50" t="n">
        <x:v>46312</x:v>
      </x:c>
      <x:c r="G17" s="52" t="n">
        <x:v>20</x:v>
      </x:c>
      <x:c r="H17" s="53" t="n">
        <x:v>20</x:v>
      </x:c>
      <x:c r="I17" s="49" t="str">
        <x:v>Not Started</x:v>
      </x:c>
      <x:c r="J17" s="54" t="str">
        <x:v>Comprehensive; online in D2L; opening time not shown.</x:v>
      </x:c>
    </x:row>
    <x:row r="18" ht="32" customHeight="1">
      <x:c r="A18" s="49" t="str">
        <x:v>TBA</x:v>
      </x:c>
      <x:c r="B18" s="44" t="str">
        <x:v>Project</x:v>
      </x:c>
      <x:c r="C18" s="49" t="str">
        <x:v>Project</x:v>
      </x:c>
      <x:c r="D18" s="50"/>
      <x:c r="E18" s="51"/>
      <x:c r="F18" s="50"/>
      <x:c r="G18" s="52"/>
      <x:c r="H18" s="53" t="n">
        <x:v>20</x:v>
      </x:c>
      <x:c r="I18" s="49" t="str">
        <x:v>Not Started</x:v>
      </x:c>
      <x:c r="J18" s="54" t="str">
        <x:v>Dates not posted. Syllabus says details will be shared within four weeks.</x:v>
      </x:c>
    </x:row>
    <x:row r="19" ht="32" customHeight="1">
      <x:c r="A19" s="49" t="str">
        <x:v>TBA</x:v>
      </x:c>
      <x:c r="B19" s="44" t="str">
        <x:v>Final Exam</x:v>
      </x:c>
      <x:c r="C19" s="49" t="str">
        <x:v>Exam</x:v>
      </x:c>
      <x:c r="D19" s="50"/>
      <x:c r="E19" s="51"/>
      <x:c r="F19" s="50"/>
      <x:c r="G19" s="52" t="n">
        <x:v>20</x:v>
      </x:c>
      <x:c r="H19" s="53" t="n">
        <x:v>30</x:v>
      </x:c>
      <x:c r="I19" s="49" t="str">
        <x:v>Not Started</x:v>
      </x:c>
      <x:c r="J19" s="54" t="str">
        <x:v>Comprehensive and online in D2L; dates not posted.</x:v>
      </x:c>
    </x:row>
    <x:row r="21" ht="26" customHeight="1">
      <x:c r="A21" s="69" t="str">
        <x:v>Important: The due date is the real deadline. D2L remains open for only one late day, and late submissions receive a 30% penalty.</x:v>
      </x:c>
      <x:c r="B21" s="70"/>
      <x:c r="C21" s="70"/>
      <x:c r="D21" s="70"/>
      <x:c r="E21" s="70"/>
      <x:c r="F21" s="70"/>
      <x:c r="G21" s="70"/>
      <x:c r="H21" s="70"/>
      <x:c r="I21" s="70"/>
      <x:c r="J21" s="71"/>
    </x:row>
    <x:row r="22" ht="26" customHeight="1">
      <x:c r="A22" s="72" t="str">
        <x:v>Times are shown exactly as posted in D2L. Verify the D2L account time zone before importing dates into a personal calendar.</x:v>
      </x:c>
      <x:c r="B22" s="73"/>
      <x:c r="C22" s="73"/>
      <x:c r="D22" s="73"/>
      <x:c r="E22" s="73"/>
      <x:c r="F22" s="73"/>
      <x:c r="G22" s="73"/>
      <x:c r="H22" s="73"/>
      <x:c r="I22" s="73"/>
      <x:c r="J22" s="74"/>
    </x:row>
    <x:row r="24">
      <x:c r="A24" s="76" t="str">
        <x:v>Sources: D2L Assignments, D2L Quiz List, D2L Grades, and Syllabus CSCI 441/541-70.</x:v>
      </x:c>
      <x:c r="B24" s="76"/>
      <x:c r="C24" s="76"/>
      <x:c r="D24" s="76"/>
      <x:c r="E24" s="76"/>
      <x:c r="F24" s="76"/>
      <x:c r="G24" s="76"/>
      <x:c r="H24" s="76"/>
      <x:c r="I24" s="76"/>
      <x:c r="J24" s="76"/>
    </x:row>
  </x:sheetData>
  <x:mergeCells>
    <x:mergeCell ref="A1:J1"/>
    <x:mergeCell ref="A2:J2"/>
    <x:mergeCell ref="A4:B4"/>
    <x:mergeCell ref="C4:D4"/>
    <x:mergeCell ref="E4:F4"/>
    <x:mergeCell ref="G4:H4"/>
    <x:mergeCell ref="I4:J4"/>
    <x:mergeCell ref="A5:B5"/>
    <x:mergeCell ref="C5:D5"/>
    <x:mergeCell ref="E5:F5"/>
    <x:mergeCell ref="G5:H5"/>
    <x:mergeCell ref="I5:J5"/>
    <x:mergeCell ref="A21:J21"/>
    <x:mergeCell ref="A22:J22"/>
    <x:mergeCell ref="A24:J24"/>
  </x:mergeCells>
  <x:conditionalFormatting sqref="I8:I19">
    <x:cfRule type="containsText" dxfId="0" priority="1" operator="containsText" text="Completed"/>
    <x:cfRule type="containsText" dxfId="1" priority="2" operator="containsText" text="In Progress"/>
  </x:conditionalFormatting>
  <x:dataValidations count="1">
    <x:dataValidation type="list" sqref="I8:I19">
      <x:formula1>"Not Started,In Progress,Completed"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1cf0e1edf84387"/>
  </x:tableParts>
</x:worksheet>
</file>